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6dc832b024d5a0/Desktop/Data Annotation/quality_check/"/>
    </mc:Choice>
  </mc:AlternateContent>
  <xr:revisionPtr revIDLastSave="2" documentId="11_9E0F41D54759FE50ACAD7E6AC49E0E2E4E1CDA39" xr6:coauthVersionLast="47" xr6:coauthVersionMax="47" xr10:uidLastSave="{C3FC7191-C480-4F23-8A29-E00C513915A0}"/>
  <bookViews>
    <workbookView xWindow="2268" yWindow="2268" windowWidth="17280" windowHeight="9960" tabRatio="500" xr2:uid="{00000000-000D-0000-FFFF-FFFF00000000}"/>
  </bookViews>
  <sheets>
    <sheet name="Summary" sheetId="1" r:id="rId1"/>
    <sheet name="Image QC" sheetId="2" r:id="rId2"/>
    <sheet name="QC Checklist" sheetId="3" r:id="rId3"/>
    <sheet name="Error Log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" i="2" l="1"/>
  <c r="H11" i="2"/>
  <c r="M10" i="2"/>
  <c r="H10" i="2"/>
  <c r="M9" i="2"/>
  <c r="H9" i="2"/>
  <c r="M8" i="2"/>
  <c r="H8" i="2"/>
  <c r="M7" i="2"/>
  <c r="H7" i="2"/>
  <c r="M6" i="2"/>
  <c r="H6" i="2"/>
  <c r="M5" i="2"/>
  <c r="H5" i="2"/>
  <c r="C27" i="1"/>
  <c r="B27" i="1"/>
  <c r="C26" i="1"/>
  <c r="B26" i="1"/>
  <c r="C25" i="1"/>
  <c r="B25" i="1"/>
  <c r="C24" i="1"/>
  <c r="B24" i="1"/>
  <c r="C19" i="1"/>
  <c r="B19" i="1"/>
  <c r="C18" i="1"/>
  <c r="B18" i="1"/>
  <c r="C17" i="1"/>
  <c r="B17" i="1"/>
  <c r="C16" i="1"/>
  <c r="C20" i="1" s="1"/>
  <c r="B16" i="1"/>
  <c r="B20" i="1" s="1"/>
  <c r="B12" i="1"/>
  <c r="B11" i="1"/>
  <c r="B7" i="1"/>
  <c r="B6" i="1"/>
  <c r="B5" i="1"/>
  <c r="B4" i="1"/>
  <c r="B8" i="1" l="1"/>
  <c r="B10" i="1" s="1"/>
  <c r="B9" i="1"/>
</calcChain>
</file>

<file path=xl/sharedStrings.xml><?xml version="1.0" encoding="utf-8"?>
<sst xmlns="http://schemas.openxmlformats.org/spreadsheetml/2006/main" count="254" uniqueCount="172">
  <si>
    <t>QC Summary – Data Annotation (CVAT)</t>
  </si>
  <si>
    <t>All figures are formulas driven by the Image QC and Error Log sheets.</t>
  </si>
  <si>
    <t>Metric</t>
  </si>
  <si>
    <t>Value</t>
  </si>
  <si>
    <t>Images in scope</t>
  </si>
  <si>
    <t>Passed</t>
  </si>
  <si>
    <t>Failed</t>
  </si>
  <si>
    <t>Pending review</t>
  </si>
  <si>
    <t>Reviewed (pass + fail)</t>
  </si>
  <si>
    <t>Review progress</t>
  </si>
  <si>
    <t>Pass rate (of reviewed)</t>
  </si>
  <si>
    <t>Expected objects (all images)</t>
  </si>
  <si>
    <t>Objects recorded so far</t>
  </si>
  <si>
    <t>Error Log status</t>
  </si>
  <si>
    <t>Severity</t>
  </si>
  <si>
    <t>Open</t>
  </si>
  <si>
    <t>Total logged</t>
  </si>
  <si>
    <t>Critical</t>
  </si>
  <si>
    <t>Major</t>
  </si>
  <si>
    <t>Minor</t>
  </si>
  <si>
    <t>Info</t>
  </si>
  <si>
    <t>Total</t>
  </si>
  <si>
    <t>Images by in-scope label</t>
  </si>
  <si>
    <t>Label</t>
  </si>
  <si>
    <t>Images</t>
  </si>
  <si>
    <t>Expected objects</t>
  </si>
  <si>
    <t>building</t>
  </si>
  <si>
    <t>person</t>
  </si>
  <si>
    <t>sheep</t>
  </si>
  <si>
    <t>No label (out of scope)</t>
  </si>
  <si>
    <t>Notes</t>
  </si>
  <si>
    <t>Source: Files.zip (7 images, label.txt.txt, 3 CVAT screenshots). Labels: person, building, sheep.</t>
  </si>
  <si>
    <t>Expected object counts are the reviewer's reading of the images, not values from CVAT. Treat them as assumptions.</t>
  </si>
  <si>
    <t>Open questions are tracked in the Error Log (E-002, E-003).</t>
  </si>
  <si>
    <t>Annotation Quality Check – Image Review</t>
  </si>
  <si>
    <t>Yellow cells = reviewer input. Grey cells = formulas (do not edit). Expected objects were counted by eye from the source images; adjust column F if the guideline decision changes.</t>
  </si>
  <si>
    <t>#</t>
  </si>
  <si>
    <t>File</t>
  </si>
  <si>
    <t>Resolution (px)</t>
  </si>
  <si>
    <t>In-scope label</t>
  </si>
  <si>
    <t>Expected shape</t>
  </si>
  <si>
    <t>Annotated objects (CVAT)</t>
  </si>
  <si>
    <t>Count check</t>
  </si>
  <si>
    <t>Label correct?</t>
  </si>
  <si>
    <t>Shape type correct?</t>
  </si>
  <si>
    <t>Boundary / point quality OK?</t>
  </si>
  <si>
    <t>No extra or out-of-scope objects?</t>
  </si>
  <si>
    <t>QC result</t>
  </si>
  <si>
    <t>Evidence / notes</t>
  </si>
  <si>
    <t>buiding.avif</t>
  </si>
  <si>
    <t>600 x 750</t>
  </si>
  <si>
    <t>Polygon</t>
  </si>
  <si>
    <t>Yes</t>
  </si>
  <si>
    <t>Screenshot 081847: 1 polygon (ID 1, 'building'), stepped silhouette traced as a single object. Boundary tightness still needs reviewer check. Filename typo 'buiding' kept as-is to match CVAT task.</t>
  </si>
  <si>
    <t>car.avif</t>
  </si>
  <si>
    <t>764 x 955</t>
  </si>
  <si>
    <t>none (car not in label set)</t>
  </si>
  <si>
    <t>None</t>
  </si>
  <si>
    <t>Car is not in label.txt. Expect zero annotations; enter 0 in column G after checking CVAT.</t>
  </si>
  <si>
    <t>person.avif</t>
  </si>
  <si>
    <t>600 x 900</t>
  </si>
  <si>
    <t>Points (5 face landmarks)</t>
  </si>
  <si>
    <t>Screenshot 082959: 1 points object labelled 'person' with 5 points (eyes, nose, mouth corners). Object ID shows 2 but Items = 1 – see Error Log E-001. Check point placement.</t>
  </si>
  <si>
    <t>person2.avif</t>
  </si>
  <si>
    <t>600 x 755</t>
  </si>
  <si>
    <t>No screenshot provided. Reviewer to open in CVAT.</t>
  </si>
  <si>
    <t>sheeps.avif</t>
  </si>
  <si>
    <t>Rectangle</t>
  </si>
  <si>
    <t>Screenshot 082610: Items = 6, all rectangles labelled 'sheep'; 6 sheep visible in image. Check box tightness, especially the two overlapping boxes.</t>
  </si>
  <si>
    <t>walking.avif</t>
  </si>
  <si>
    <t>600 x 337</t>
  </si>
  <si>
    <t>Points (5 face landmarks) – DECISION PENDING</t>
  </si>
  <si>
    <t>5 people walking. Points vs rectangle for groups not yet decided – see Error Log E-002.</t>
  </si>
  <si>
    <t>zebras.avif</t>
  </si>
  <si>
    <t>600 x 342</t>
  </si>
  <si>
    <t>none (zebra not in label set)</t>
  </si>
  <si>
    <t>4 zebras plus water reflections; none are in label set. Expect zero annotations; enter 0 in column G after checking CVAT.</t>
  </si>
  <si>
    <t>QC Checklist – criteria applied to every image</t>
  </si>
  <si>
    <t>ID</t>
  </si>
  <si>
    <t>Category</t>
  </si>
  <si>
    <t>Check</t>
  </si>
  <si>
    <t>How to verify in CVAT</t>
  </si>
  <si>
    <t>Applies to</t>
  </si>
  <si>
    <t>QC-01</t>
  </si>
  <si>
    <t>Every object uses a label from label.txt (person, building, sheep).</t>
  </si>
  <si>
    <t>Objects panel → label dropdown on each item.</t>
  </si>
  <si>
    <t>All</t>
  </si>
  <si>
    <t>QC-02</t>
  </si>
  <si>
    <t>Label matches what is actually in the box/polygon/points (no sheep tagged person, etc.).</t>
  </si>
  <si>
    <t>Click each object; compare against image.</t>
  </si>
  <si>
    <t>QC-03</t>
  </si>
  <si>
    <t>Completeness</t>
  </si>
  <si>
    <t>Every visible in-scope instance is annotated; object count equals 'Expected objects'.</t>
  </si>
  <si>
    <t>Objects panel 'Items: N' vs column F on Image QC.</t>
  </si>
  <si>
    <t>QC-04</t>
  </si>
  <si>
    <t>Partly hidden or cut-off instances are annotated when still clearly recognisable.</t>
  </si>
  <si>
    <t>Zoom into edges and overlaps.</t>
  </si>
  <si>
    <t>sheep, person</t>
  </si>
  <si>
    <t>QC-05</t>
  </si>
  <si>
    <t>Scope</t>
  </si>
  <si>
    <t>Nothing is annotated that is outside the label set (e.g. car, zebra, reflections).</t>
  </si>
  <si>
    <t>Items should be 0 on car.avif and zebras.avif.</t>
  </si>
  <si>
    <t>car.avif, zebras.avif</t>
  </si>
  <si>
    <t>QC-06</t>
  </si>
  <si>
    <t>Duplicates</t>
  </si>
  <si>
    <t>No duplicate or stacked identical objects on the same instance.</t>
  </si>
  <si>
    <t>Toggle visibility; look for items with identical geometry.</t>
  </si>
  <si>
    <t>QC-07</t>
  </si>
  <si>
    <t>Shape type</t>
  </si>
  <si>
    <t>building uses Polygon.</t>
  </si>
  <si>
    <t>Objects panel shows 'POLYGON SHAPE'.</t>
  </si>
  <si>
    <t>QC-08</t>
  </si>
  <si>
    <t>sheep uses Rectangle.</t>
  </si>
  <si>
    <t>Objects panel shows 'RECTANGLE SHAPE'.</t>
  </si>
  <si>
    <t>QC-09</t>
  </si>
  <si>
    <t>person uses Points (5 face landmarks) per current convention.</t>
  </si>
  <si>
    <t>Objects panel shows 'POINTS SHAPE'; 5 points per object.</t>
  </si>
  <si>
    <t>QC-10</t>
  </si>
  <si>
    <t>Geometry</t>
  </si>
  <si>
    <t>Rectangle edges sit on the visible extent of the animal, with no cut-off body parts and no large empty margin.</t>
  </si>
  <si>
    <t>Zoom 200%+ and check all four edges.</t>
  </si>
  <si>
    <t>QC-11</t>
  </si>
  <si>
    <t>Polygon vertices follow the building outline; no self-crossing edges; little sky or background enclosed.</t>
  </si>
  <si>
    <t>Zoom along each edge; check step corners.</t>
  </si>
  <si>
    <t>QC-12</t>
  </si>
  <si>
    <t>Each landmark point sits on its feature (eyes, nose tip, mouth corners) in the agreed order, with none missing.</t>
  </si>
  <si>
    <t>Zoom on face; hover points.</t>
  </si>
  <si>
    <t>QC-13</t>
  </si>
  <si>
    <t>Technical</t>
  </si>
  <si>
    <t>Annotation is saved and attached to the correct image (frame 0 of a single-image task).</t>
  </si>
  <si>
    <t>Press Save; confirm file name above the canvas.</t>
  </si>
  <si>
    <t>QC-14</t>
  </si>
  <si>
    <t>No objects accidentally locked, hidden, or pinned in a way that blocks review.</t>
  </si>
  <si>
    <t>Check lock/eye icons in Objects panel.</t>
  </si>
  <si>
    <t>QC-15</t>
  </si>
  <si>
    <t>Process</t>
  </si>
  <si>
    <t>Gaps in object IDs (e.g. ID 1 missing) are explained.</t>
  </si>
  <si>
    <t>Compare lowest ID with Items count.</t>
  </si>
  <si>
    <t>QC-16</t>
  </si>
  <si>
    <t>Export</t>
  </si>
  <si>
    <t>Export format keeps all three shape types (rectangle, polygon, points).</t>
  </si>
  <si>
    <t>Confirm with project lead before export; 'CVAT for images 1.1' keeps all three.</t>
  </si>
  <si>
    <t>Project</t>
  </si>
  <si>
    <t>Error Log</t>
  </si>
  <si>
    <t>Log every defect found. Pick Category and Severity from the dropdowns. E-001 to E-005 come from the initial review of the supplied files.</t>
  </si>
  <si>
    <t>Error ID</t>
  </si>
  <si>
    <t>CVAT object ID</t>
  </si>
  <si>
    <t>Description</t>
  </si>
  <si>
    <t>Fix / decision needed</t>
  </si>
  <si>
    <t>Status</t>
  </si>
  <si>
    <t>Logged by</t>
  </si>
  <si>
    <t>Date logged</t>
  </si>
  <si>
    <t>E-001</t>
  </si>
  <si>
    <t>Objects panel shows Items: 1, but the only object has ID 2. ID 1 is missing, so an object may have been deleted.</t>
  </si>
  <si>
    <t>Annotator to confirm nothing was lost; reviewer re-checks the image.</t>
  </si>
  <si>
    <t>Claude (initial review)</t>
  </si>
  <si>
    <t>2026-10-01</t>
  </si>
  <si>
    <t>E-002</t>
  </si>
  <si>
    <t>Guideline gap</t>
  </si>
  <si>
    <t>Five people are visible, faces are small and some are turned away. Face-landmark points may not be placeable for everyone.</t>
  </si>
  <si>
    <t>Lead to decide: 5-point landmarks only where face is clear, or switch to rectangles for groups.</t>
  </si>
  <si>
    <t>E-003</t>
  </si>
  <si>
    <t>car.avif / zebras.avif</t>
  </si>
  <si>
    <t>Car and zebra are not in label.txt. Unclear whether to leave them unannotated or add labels.</t>
  </si>
  <si>
    <t>Lead to confirm: zero annotations (current assumption) or extend label set.</t>
  </si>
  <si>
    <t>E-004</t>
  </si>
  <si>
    <t>label.txt.txt</t>
  </si>
  <si>
    <t>Label file has a double extension (.txt.txt) and CRLF line endings.</t>
  </si>
  <si>
    <t>Rename to label.txt if the import tool needs it; verify labels import as person, building, sheep.</t>
  </si>
  <si>
    <t>E-005</t>
  </si>
  <si>
    <t>Filename is misspelt ('buiding'). CVAT task already references this name.</t>
  </si>
  <si>
    <t>Leave as-is unless the task is rebuilt; do not rename mid-project.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</si>
</sst>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5" fillId="0" borderId="1" xfId="0" applyNumberFormat="1" applyFon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zoomScaleNormal="100" workbookViewId="0">
      <selection activeCell="B36" sqref="B36"/>
    </sheetView>
  </sheetViews>
  <sheetFormatPr defaultColWidth="8.6640625" defaultRowHeight="14.4" x14ac:dyDescent="0.3"/>
  <cols>
    <col min="1" max="1" width="34" customWidth="1"/>
    <col min="2" max="2" width="14" customWidth="1"/>
    <col min="3" max="3" width="18" customWidth="1"/>
  </cols>
  <sheetData>
    <row r="1" spans="1:3" ht="17.399999999999999" x14ac:dyDescent="0.3">
      <c r="A1" s="2" t="s">
        <v>0</v>
      </c>
    </row>
    <row r="2" spans="1:3" x14ac:dyDescent="0.3">
      <c r="A2" s="3" t="s">
        <v>1</v>
      </c>
    </row>
    <row r="3" spans="1:3" ht="31.5" customHeight="1" x14ac:dyDescent="0.3">
      <c r="A3" s="4" t="s">
        <v>2</v>
      </c>
      <c r="B3" s="4" t="s">
        <v>3</v>
      </c>
    </row>
    <row r="4" spans="1:3" x14ac:dyDescent="0.3">
      <c r="A4" s="5" t="s">
        <v>4</v>
      </c>
      <c r="B4" s="6">
        <f>COUNTA('Image QC'!B5:B11)</f>
        <v>7</v>
      </c>
    </row>
    <row r="5" spans="1:3" x14ac:dyDescent="0.3">
      <c r="A5" s="5" t="s">
        <v>5</v>
      </c>
      <c r="B5" s="6">
        <f>COUNTIF('Image QC'!M5:M11,"Pass")</f>
        <v>0</v>
      </c>
    </row>
    <row r="6" spans="1:3" x14ac:dyDescent="0.3">
      <c r="A6" s="5" t="s">
        <v>6</v>
      </c>
      <c r="B6" s="6">
        <f>COUNTIF('Image QC'!M5:M11,"Fail")</f>
        <v>0</v>
      </c>
    </row>
    <row r="7" spans="1:3" x14ac:dyDescent="0.3">
      <c r="A7" s="5" t="s">
        <v>7</v>
      </c>
      <c r="B7" s="6">
        <f>COUNTIF('Image QC'!M5:M11,"Pending")</f>
        <v>7</v>
      </c>
    </row>
    <row r="8" spans="1:3" x14ac:dyDescent="0.3">
      <c r="A8" s="5" t="s">
        <v>8</v>
      </c>
      <c r="B8" s="6">
        <f>B5+B6</f>
        <v>0</v>
      </c>
    </row>
    <row r="9" spans="1:3" x14ac:dyDescent="0.3">
      <c r="A9" s="5" t="s">
        <v>9</v>
      </c>
      <c r="B9" s="7">
        <f>IF(B4=0,"n/a",B8/B4)</f>
        <v>0</v>
      </c>
    </row>
    <row r="10" spans="1:3" x14ac:dyDescent="0.3">
      <c r="A10" s="5" t="s">
        <v>10</v>
      </c>
      <c r="B10" s="7" t="str">
        <f>IF(B8=0,"n/a",B5/B8)</f>
        <v>n/a</v>
      </c>
    </row>
    <row r="11" spans="1:3" x14ac:dyDescent="0.3">
      <c r="A11" s="5" t="s">
        <v>11</v>
      </c>
      <c r="B11" s="6">
        <f>SUM('Image QC'!F5:F11)</f>
        <v>14</v>
      </c>
    </row>
    <row r="12" spans="1:3" x14ac:dyDescent="0.3">
      <c r="A12" s="5" t="s">
        <v>12</v>
      </c>
      <c r="B12" s="6">
        <f>SUM('Image QC'!G5:G11)</f>
        <v>8</v>
      </c>
    </row>
    <row r="14" spans="1:3" x14ac:dyDescent="0.3">
      <c r="A14" s="8" t="s">
        <v>13</v>
      </c>
    </row>
    <row r="15" spans="1:3" ht="31.5" customHeight="1" x14ac:dyDescent="0.3">
      <c r="A15" s="4" t="s">
        <v>14</v>
      </c>
      <c r="B15" s="4" t="s">
        <v>15</v>
      </c>
      <c r="C15" s="4" t="s">
        <v>16</v>
      </c>
    </row>
    <row r="16" spans="1:3" x14ac:dyDescent="0.3">
      <c r="A16" s="5" t="s">
        <v>17</v>
      </c>
      <c r="B16" s="9">
        <f>COUNTIFS('Error Log'!$E$5:$E$64,A16,'Error Log'!$H$5:$H$64,"Open")</f>
        <v>0</v>
      </c>
      <c r="C16" s="9">
        <f>COUNTIFS('Error Log'!$E$5:$E$64,A16)</f>
        <v>0</v>
      </c>
    </row>
    <row r="17" spans="1:3" x14ac:dyDescent="0.3">
      <c r="A17" s="5" t="s">
        <v>18</v>
      </c>
      <c r="B17" s="9">
        <f>COUNTIFS('Error Log'!$E$5:$E$64,A17,'Error Log'!$H$5:$H$64,"Open")</f>
        <v>2</v>
      </c>
      <c r="C17" s="9">
        <f>COUNTIFS('Error Log'!$E$5:$E$64,A17)</f>
        <v>2</v>
      </c>
    </row>
    <row r="18" spans="1:3" x14ac:dyDescent="0.3">
      <c r="A18" s="5" t="s">
        <v>19</v>
      </c>
      <c r="B18" s="9">
        <f>COUNTIFS('Error Log'!$E$5:$E$64,A18,'Error Log'!$H$5:$H$64,"Open")</f>
        <v>0</v>
      </c>
      <c r="C18" s="9">
        <f>COUNTIFS('Error Log'!$E$5:$E$64,A18)</f>
        <v>0</v>
      </c>
    </row>
    <row r="19" spans="1:3" x14ac:dyDescent="0.3">
      <c r="A19" s="5" t="s">
        <v>20</v>
      </c>
      <c r="B19" s="9">
        <f>COUNTIFS('Error Log'!$E$5:$E$64,A19,'Error Log'!$H$5:$H$64,"Open")</f>
        <v>3</v>
      </c>
      <c r="C19" s="9">
        <f>COUNTIFS('Error Log'!$E$5:$E$64,A19)</f>
        <v>3</v>
      </c>
    </row>
    <row r="20" spans="1:3" x14ac:dyDescent="0.3">
      <c r="A20" s="10" t="s">
        <v>21</v>
      </c>
      <c r="B20" s="11">
        <f>SUM(B16:B19)</f>
        <v>5</v>
      </c>
      <c r="C20" s="11">
        <f>SUM(C16:C19)</f>
        <v>5</v>
      </c>
    </row>
    <row r="22" spans="1:3" x14ac:dyDescent="0.3">
      <c r="A22" s="8" t="s">
        <v>22</v>
      </c>
    </row>
    <row r="23" spans="1:3" ht="31.5" customHeight="1" x14ac:dyDescent="0.3">
      <c r="A23" s="4" t="s">
        <v>23</v>
      </c>
      <c r="B23" s="4" t="s">
        <v>24</v>
      </c>
      <c r="C23" s="4" t="s">
        <v>25</v>
      </c>
    </row>
    <row r="24" spans="1:3" x14ac:dyDescent="0.3">
      <c r="A24" s="5" t="s">
        <v>26</v>
      </c>
      <c r="B24" s="9">
        <f>COUNTIF('Image QC'!D5:D11,A24)</f>
        <v>1</v>
      </c>
      <c r="C24" s="9">
        <f>SUMIF('Image QC'!D5:D11,A24,'Image QC'!F5:F11)</f>
        <v>1</v>
      </c>
    </row>
    <row r="25" spans="1:3" x14ac:dyDescent="0.3">
      <c r="A25" s="5" t="s">
        <v>27</v>
      </c>
      <c r="B25" s="9">
        <f>COUNTIF('Image QC'!D5:D11,A25)</f>
        <v>3</v>
      </c>
      <c r="C25" s="9">
        <f>SUMIF('Image QC'!D5:D11,A25,'Image QC'!F5:F11)</f>
        <v>7</v>
      </c>
    </row>
    <row r="26" spans="1:3" x14ac:dyDescent="0.3">
      <c r="A26" s="5" t="s">
        <v>28</v>
      </c>
      <c r="B26" s="9">
        <f>COUNTIF('Image QC'!D5:D11,A26)</f>
        <v>1</v>
      </c>
      <c r="C26" s="9">
        <f>SUMIF('Image QC'!D5:D11,A26,'Image QC'!F5:F11)</f>
        <v>6</v>
      </c>
    </row>
    <row r="27" spans="1:3" x14ac:dyDescent="0.3">
      <c r="A27" s="5" t="s">
        <v>29</v>
      </c>
      <c r="B27" s="9">
        <f>COUNTIF('Image QC'!D5:D11,"none*")</f>
        <v>2</v>
      </c>
      <c r="C27" s="9">
        <f>SUMIF('Image QC'!D5:D11,"none*",'Image QC'!F5:F11)</f>
        <v>0</v>
      </c>
    </row>
    <row r="30" spans="1:3" x14ac:dyDescent="0.3">
      <c r="A30" s="8" t="s">
        <v>30</v>
      </c>
    </row>
    <row r="31" spans="1:3" x14ac:dyDescent="0.3">
      <c r="A31" s="12" t="s">
        <v>31</v>
      </c>
    </row>
    <row r="32" spans="1:3" x14ac:dyDescent="0.3">
      <c r="A32" s="12" t="s">
        <v>32</v>
      </c>
    </row>
    <row r="33" spans="1:1" x14ac:dyDescent="0.3">
      <c r="A33" s="1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16" customWidth="1"/>
    <col min="3" max="3" width="13" customWidth="1"/>
    <col min="4" max="4" width="22" customWidth="1"/>
    <col min="5" max="5" width="24" customWidth="1"/>
    <col min="6" max="6" width="11" customWidth="1"/>
    <col min="7" max="7" width="14" customWidth="1"/>
    <col min="8" max="8" width="12" customWidth="1"/>
    <col min="9" max="9" width="11" customWidth="1"/>
    <col min="10" max="10" width="12" customWidth="1"/>
    <col min="11" max="11" width="15" customWidth="1"/>
    <col min="12" max="12" width="17" customWidth="1"/>
    <col min="13" max="13" width="11" customWidth="1"/>
    <col min="14" max="14" width="60" customWidth="1"/>
  </cols>
  <sheetData>
    <row r="1" spans="1:14" ht="17.399999999999999" x14ac:dyDescent="0.3">
      <c r="A1" s="2" t="s">
        <v>34</v>
      </c>
    </row>
    <row r="2" spans="1:14" ht="27.75" customHeight="1" x14ac:dyDescent="0.3">
      <c r="A2" s="1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31.5" customHeight="1" x14ac:dyDescent="0.3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25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45</v>
      </c>
      <c r="L4" s="4" t="s">
        <v>46</v>
      </c>
      <c r="M4" s="4" t="s">
        <v>47</v>
      </c>
      <c r="N4" s="4" t="s">
        <v>48</v>
      </c>
    </row>
    <row r="5" spans="1:14" ht="61.5" customHeight="1" x14ac:dyDescent="0.3">
      <c r="A5" s="13">
        <v>1</v>
      </c>
      <c r="B5" s="14" t="s">
        <v>49</v>
      </c>
      <c r="C5" s="13" t="s">
        <v>50</v>
      </c>
      <c r="D5" s="14" t="s">
        <v>26</v>
      </c>
      <c r="E5" s="14" t="s">
        <v>51</v>
      </c>
      <c r="F5" s="13">
        <v>1</v>
      </c>
      <c r="G5" s="15">
        <v>1</v>
      </c>
      <c r="H5" s="16" t="str">
        <f t="shared" ref="H5:H11" si="0">IF(G5="","Pending",IF(G5=F5,"Match",IF(G5&gt;F5,"Extra "&amp;(G5-F5),"Missing "&amp;(F5-G5))))</f>
        <v>Match</v>
      </c>
      <c r="I5" s="15" t="s">
        <v>52</v>
      </c>
      <c r="J5" s="15" t="s">
        <v>52</v>
      </c>
      <c r="K5" s="15"/>
      <c r="L5" s="15" t="s">
        <v>52</v>
      </c>
      <c r="M5" s="16" t="str">
        <f t="shared" ref="M5:M11" si="1">IF(OR(G5="",I5="",J5="",K5="",L5=""),"Pending",IF(AND(G5=F5,OR(I5="Yes",I5="N/A"),OR(J5="Yes",J5="N/A"),OR(K5="Yes",K5="N/A"),OR(L5="Yes",L5="N/A")),"Pass","Fail"))</f>
        <v>Pending</v>
      </c>
      <c r="N5" s="14" t="s">
        <v>53</v>
      </c>
    </row>
    <row r="6" spans="1:14" ht="61.5" customHeight="1" x14ac:dyDescent="0.3">
      <c r="A6" s="13">
        <v>2</v>
      </c>
      <c r="B6" s="14" t="s">
        <v>54</v>
      </c>
      <c r="C6" s="13" t="s">
        <v>55</v>
      </c>
      <c r="D6" s="14" t="s">
        <v>56</v>
      </c>
      <c r="E6" s="14" t="s">
        <v>57</v>
      </c>
      <c r="F6" s="13">
        <v>0</v>
      </c>
      <c r="G6" s="15"/>
      <c r="H6" s="16" t="str">
        <f t="shared" si="0"/>
        <v>Pending</v>
      </c>
      <c r="I6" s="15"/>
      <c r="J6" s="15"/>
      <c r="K6" s="15"/>
      <c r="L6" s="15"/>
      <c r="M6" s="16" t="str">
        <f t="shared" si="1"/>
        <v>Pending</v>
      </c>
      <c r="N6" s="14" t="s">
        <v>58</v>
      </c>
    </row>
    <row r="7" spans="1:14" ht="61.5" customHeight="1" x14ac:dyDescent="0.3">
      <c r="A7" s="13">
        <v>3</v>
      </c>
      <c r="B7" s="14" t="s">
        <v>59</v>
      </c>
      <c r="C7" s="13" t="s">
        <v>60</v>
      </c>
      <c r="D7" s="14" t="s">
        <v>27</v>
      </c>
      <c r="E7" s="14" t="s">
        <v>61</v>
      </c>
      <c r="F7" s="13">
        <v>1</v>
      </c>
      <c r="G7" s="15">
        <v>1</v>
      </c>
      <c r="H7" s="16" t="str">
        <f t="shared" si="0"/>
        <v>Match</v>
      </c>
      <c r="I7" s="15" t="s">
        <v>52</v>
      </c>
      <c r="J7" s="15" t="s">
        <v>52</v>
      </c>
      <c r="K7" s="15"/>
      <c r="L7" s="15" t="s">
        <v>52</v>
      </c>
      <c r="M7" s="16" t="str">
        <f t="shared" si="1"/>
        <v>Pending</v>
      </c>
      <c r="N7" s="14" t="s">
        <v>62</v>
      </c>
    </row>
    <row r="8" spans="1:14" ht="61.5" customHeight="1" x14ac:dyDescent="0.3">
      <c r="A8" s="13">
        <v>4</v>
      </c>
      <c r="B8" s="14" t="s">
        <v>63</v>
      </c>
      <c r="C8" s="13" t="s">
        <v>64</v>
      </c>
      <c r="D8" s="14" t="s">
        <v>27</v>
      </c>
      <c r="E8" s="14" t="s">
        <v>61</v>
      </c>
      <c r="F8" s="13">
        <v>1</v>
      </c>
      <c r="G8" s="15"/>
      <c r="H8" s="16" t="str">
        <f t="shared" si="0"/>
        <v>Pending</v>
      </c>
      <c r="I8" s="15"/>
      <c r="J8" s="15"/>
      <c r="K8" s="15"/>
      <c r="L8" s="15"/>
      <c r="M8" s="16" t="str">
        <f t="shared" si="1"/>
        <v>Pending</v>
      </c>
      <c r="N8" s="14" t="s">
        <v>65</v>
      </c>
    </row>
    <row r="9" spans="1:14" ht="61.5" customHeight="1" x14ac:dyDescent="0.3">
      <c r="A9" s="13">
        <v>5</v>
      </c>
      <c r="B9" s="14" t="s">
        <v>66</v>
      </c>
      <c r="C9" s="13" t="s">
        <v>60</v>
      </c>
      <c r="D9" s="14" t="s">
        <v>28</v>
      </c>
      <c r="E9" s="14" t="s">
        <v>67</v>
      </c>
      <c r="F9" s="13">
        <v>6</v>
      </c>
      <c r="G9" s="15">
        <v>6</v>
      </c>
      <c r="H9" s="16" t="str">
        <f t="shared" si="0"/>
        <v>Match</v>
      </c>
      <c r="I9" s="15" t="s">
        <v>52</v>
      </c>
      <c r="J9" s="15" t="s">
        <v>52</v>
      </c>
      <c r="K9" s="15"/>
      <c r="L9" s="15" t="s">
        <v>52</v>
      </c>
      <c r="M9" s="16" t="str">
        <f t="shared" si="1"/>
        <v>Pending</v>
      </c>
      <c r="N9" s="14" t="s">
        <v>68</v>
      </c>
    </row>
    <row r="10" spans="1:14" ht="61.5" customHeight="1" x14ac:dyDescent="0.3">
      <c r="A10" s="13">
        <v>6</v>
      </c>
      <c r="B10" s="14" t="s">
        <v>69</v>
      </c>
      <c r="C10" s="13" t="s">
        <v>70</v>
      </c>
      <c r="D10" s="14" t="s">
        <v>27</v>
      </c>
      <c r="E10" s="14" t="s">
        <v>71</v>
      </c>
      <c r="F10" s="13">
        <v>5</v>
      </c>
      <c r="G10" s="15"/>
      <c r="H10" s="16" t="str">
        <f t="shared" si="0"/>
        <v>Pending</v>
      </c>
      <c r="I10" s="15"/>
      <c r="J10" s="15"/>
      <c r="K10" s="15"/>
      <c r="L10" s="15"/>
      <c r="M10" s="16" t="str">
        <f t="shared" si="1"/>
        <v>Pending</v>
      </c>
      <c r="N10" s="14" t="s">
        <v>72</v>
      </c>
    </row>
    <row r="11" spans="1:14" ht="61.5" customHeight="1" x14ac:dyDescent="0.3">
      <c r="A11" s="13">
        <v>7</v>
      </c>
      <c r="B11" s="14" t="s">
        <v>73</v>
      </c>
      <c r="C11" s="13" t="s">
        <v>74</v>
      </c>
      <c r="D11" s="14" t="s">
        <v>75</v>
      </c>
      <c r="E11" s="14" t="s">
        <v>57</v>
      </c>
      <c r="F11" s="13">
        <v>0</v>
      </c>
      <c r="G11" s="15"/>
      <c r="H11" s="16" t="str">
        <f t="shared" si="0"/>
        <v>Pending</v>
      </c>
      <c r="I11" s="15"/>
      <c r="J11" s="15"/>
      <c r="K11" s="15"/>
      <c r="L11" s="15"/>
      <c r="M11" s="16" t="str">
        <f t="shared" si="1"/>
        <v>Pending</v>
      </c>
      <c r="N11" s="14" t="s">
        <v>76</v>
      </c>
    </row>
  </sheetData>
  <mergeCells count="1">
    <mergeCell ref="A2:N2"/>
  </mergeCells>
  <conditionalFormatting sqref="H5:H11">
    <cfRule type="expression" dxfId="4" priority="5">
      <formula>OR(LEFT(H5,5)="Extra",LEFT(H5,7)="Missing")</formula>
    </cfRule>
    <cfRule type="cellIs" dxfId="3" priority="6" operator="equal">
      <formula>"Match"</formula>
    </cfRule>
  </conditionalFormatting>
  <conditionalFormatting sqref="M5:M11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"Pending"</formula>
    </cfRule>
  </conditionalFormatting>
  <dataValidations count="2">
    <dataValidation type="list" allowBlank="1" sqref="I5:L11" xr:uid="{00000000-0002-0000-0100-000000000000}">
      <formula1>"Yes,No,N/A"</formula1>
      <formula2>0</formula2>
    </dataValidation>
    <dataValidation type="whole" operator="greaterThanOrEqual" allowBlank="1" sqref="G5:G11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4" customWidth="1"/>
    <col min="3" max="3" width="62" customWidth="1"/>
    <col min="4" max="4" width="48" customWidth="1"/>
    <col min="5" max="5" width="10" customWidth="1"/>
    <col min="6" max="6" width="20" customWidth="1"/>
  </cols>
  <sheetData>
    <row r="1" spans="1:6" ht="17.399999999999999" x14ac:dyDescent="0.3">
      <c r="A1" s="2" t="s">
        <v>77</v>
      </c>
    </row>
    <row r="3" spans="1:6" ht="31.5" customHeight="1" x14ac:dyDescent="0.3">
      <c r="A3" s="4" t="s">
        <v>78</v>
      </c>
      <c r="B3" s="4" t="s">
        <v>79</v>
      </c>
      <c r="C3" s="4" t="s">
        <v>80</v>
      </c>
      <c r="D3" s="4" t="s">
        <v>81</v>
      </c>
      <c r="E3" s="4" t="s">
        <v>14</v>
      </c>
      <c r="F3" s="4" t="s">
        <v>82</v>
      </c>
    </row>
    <row r="4" spans="1:6" ht="43.5" customHeight="1" x14ac:dyDescent="0.3">
      <c r="A4" s="13" t="s">
        <v>83</v>
      </c>
      <c r="B4" s="14" t="s">
        <v>23</v>
      </c>
      <c r="C4" s="14" t="s">
        <v>84</v>
      </c>
      <c r="D4" s="14" t="s">
        <v>85</v>
      </c>
      <c r="E4" s="13" t="s">
        <v>17</v>
      </c>
      <c r="F4" s="14" t="s">
        <v>86</v>
      </c>
    </row>
    <row r="5" spans="1:6" ht="43.5" customHeight="1" x14ac:dyDescent="0.3">
      <c r="A5" s="13" t="s">
        <v>87</v>
      </c>
      <c r="B5" s="14" t="s">
        <v>23</v>
      </c>
      <c r="C5" s="14" t="s">
        <v>88</v>
      </c>
      <c r="D5" s="14" t="s">
        <v>89</v>
      </c>
      <c r="E5" s="13" t="s">
        <v>17</v>
      </c>
      <c r="F5" s="14" t="s">
        <v>86</v>
      </c>
    </row>
    <row r="6" spans="1:6" ht="43.5" customHeight="1" x14ac:dyDescent="0.3">
      <c r="A6" s="13" t="s">
        <v>90</v>
      </c>
      <c r="B6" s="14" t="s">
        <v>91</v>
      </c>
      <c r="C6" s="14" t="s">
        <v>92</v>
      </c>
      <c r="D6" s="14" t="s">
        <v>93</v>
      </c>
      <c r="E6" s="13" t="s">
        <v>17</v>
      </c>
      <c r="F6" s="14" t="s">
        <v>86</v>
      </c>
    </row>
    <row r="7" spans="1:6" ht="43.5" customHeight="1" x14ac:dyDescent="0.3">
      <c r="A7" s="13" t="s">
        <v>94</v>
      </c>
      <c r="B7" s="14" t="s">
        <v>91</v>
      </c>
      <c r="C7" s="14" t="s">
        <v>95</v>
      </c>
      <c r="D7" s="14" t="s">
        <v>96</v>
      </c>
      <c r="E7" s="13" t="s">
        <v>18</v>
      </c>
      <c r="F7" s="14" t="s">
        <v>97</v>
      </c>
    </row>
    <row r="8" spans="1:6" ht="43.5" customHeight="1" x14ac:dyDescent="0.3">
      <c r="A8" s="13" t="s">
        <v>98</v>
      </c>
      <c r="B8" s="14" t="s">
        <v>99</v>
      </c>
      <c r="C8" s="14" t="s">
        <v>100</v>
      </c>
      <c r="D8" s="14" t="s">
        <v>101</v>
      </c>
      <c r="E8" s="13" t="s">
        <v>18</v>
      </c>
      <c r="F8" s="14" t="s">
        <v>102</v>
      </c>
    </row>
    <row r="9" spans="1:6" ht="43.5" customHeight="1" x14ac:dyDescent="0.3">
      <c r="A9" s="13" t="s">
        <v>103</v>
      </c>
      <c r="B9" s="14" t="s">
        <v>104</v>
      </c>
      <c r="C9" s="14" t="s">
        <v>105</v>
      </c>
      <c r="D9" s="14" t="s">
        <v>106</v>
      </c>
      <c r="E9" s="13" t="s">
        <v>18</v>
      </c>
      <c r="F9" s="14" t="s">
        <v>86</v>
      </c>
    </row>
    <row r="10" spans="1:6" ht="43.5" customHeight="1" x14ac:dyDescent="0.3">
      <c r="A10" s="13" t="s">
        <v>107</v>
      </c>
      <c r="B10" s="14" t="s">
        <v>108</v>
      </c>
      <c r="C10" s="14" t="s">
        <v>109</v>
      </c>
      <c r="D10" s="14" t="s">
        <v>110</v>
      </c>
      <c r="E10" s="13" t="s">
        <v>18</v>
      </c>
      <c r="F10" s="14" t="s">
        <v>26</v>
      </c>
    </row>
    <row r="11" spans="1:6" ht="43.5" customHeight="1" x14ac:dyDescent="0.3">
      <c r="A11" s="13" t="s">
        <v>111</v>
      </c>
      <c r="B11" s="14" t="s">
        <v>108</v>
      </c>
      <c r="C11" s="14" t="s">
        <v>112</v>
      </c>
      <c r="D11" s="14" t="s">
        <v>113</v>
      </c>
      <c r="E11" s="13" t="s">
        <v>18</v>
      </c>
      <c r="F11" s="14" t="s">
        <v>28</v>
      </c>
    </row>
    <row r="12" spans="1:6" ht="43.5" customHeight="1" x14ac:dyDescent="0.3">
      <c r="A12" s="13" t="s">
        <v>114</v>
      </c>
      <c r="B12" s="14" t="s">
        <v>108</v>
      </c>
      <c r="C12" s="14" t="s">
        <v>115</v>
      </c>
      <c r="D12" s="14" t="s">
        <v>116</v>
      </c>
      <c r="E12" s="13" t="s">
        <v>18</v>
      </c>
      <c r="F12" s="14" t="s">
        <v>27</v>
      </c>
    </row>
    <row r="13" spans="1:6" ht="43.5" customHeight="1" x14ac:dyDescent="0.3">
      <c r="A13" s="13" t="s">
        <v>117</v>
      </c>
      <c r="B13" s="14" t="s">
        <v>118</v>
      </c>
      <c r="C13" s="14" t="s">
        <v>119</v>
      </c>
      <c r="D13" s="14" t="s">
        <v>120</v>
      </c>
      <c r="E13" s="13" t="s">
        <v>18</v>
      </c>
      <c r="F13" s="14" t="s">
        <v>28</v>
      </c>
    </row>
    <row r="14" spans="1:6" ht="43.5" customHeight="1" x14ac:dyDescent="0.3">
      <c r="A14" s="13" t="s">
        <v>121</v>
      </c>
      <c r="B14" s="14" t="s">
        <v>118</v>
      </c>
      <c r="C14" s="14" t="s">
        <v>122</v>
      </c>
      <c r="D14" s="14" t="s">
        <v>123</v>
      </c>
      <c r="E14" s="13" t="s">
        <v>18</v>
      </c>
      <c r="F14" s="14" t="s">
        <v>26</v>
      </c>
    </row>
    <row r="15" spans="1:6" ht="43.5" customHeight="1" x14ac:dyDescent="0.3">
      <c r="A15" s="13" t="s">
        <v>124</v>
      </c>
      <c r="B15" s="14" t="s">
        <v>118</v>
      </c>
      <c r="C15" s="14" t="s">
        <v>125</v>
      </c>
      <c r="D15" s="14" t="s">
        <v>126</v>
      </c>
      <c r="E15" s="13" t="s">
        <v>18</v>
      </c>
      <c r="F15" s="14" t="s">
        <v>27</v>
      </c>
    </row>
    <row r="16" spans="1:6" ht="43.5" customHeight="1" x14ac:dyDescent="0.3">
      <c r="A16" s="13" t="s">
        <v>127</v>
      </c>
      <c r="B16" s="14" t="s">
        <v>128</v>
      </c>
      <c r="C16" s="14" t="s">
        <v>129</v>
      </c>
      <c r="D16" s="14" t="s">
        <v>130</v>
      </c>
      <c r="E16" s="13" t="s">
        <v>18</v>
      </c>
      <c r="F16" s="14" t="s">
        <v>86</v>
      </c>
    </row>
    <row r="17" spans="1:6" ht="43.5" customHeight="1" x14ac:dyDescent="0.3">
      <c r="A17" s="13" t="s">
        <v>131</v>
      </c>
      <c r="B17" s="14" t="s">
        <v>128</v>
      </c>
      <c r="C17" s="14" t="s">
        <v>132</v>
      </c>
      <c r="D17" s="14" t="s">
        <v>133</v>
      </c>
      <c r="E17" s="13" t="s">
        <v>19</v>
      </c>
      <c r="F17" s="14" t="s">
        <v>86</v>
      </c>
    </row>
    <row r="18" spans="1:6" ht="43.5" customHeight="1" x14ac:dyDescent="0.3">
      <c r="A18" s="13" t="s">
        <v>134</v>
      </c>
      <c r="B18" s="14" t="s">
        <v>135</v>
      </c>
      <c r="C18" s="14" t="s">
        <v>136</v>
      </c>
      <c r="D18" s="14" t="s">
        <v>137</v>
      </c>
      <c r="E18" s="13" t="s">
        <v>20</v>
      </c>
      <c r="F18" s="14" t="s">
        <v>86</v>
      </c>
    </row>
    <row r="19" spans="1:6" ht="43.5" customHeight="1" x14ac:dyDescent="0.3">
      <c r="A19" s="13" t="s">
        <v>138</v>
      </c>
      <c r="B19" s="14" t="s">
        <v>139</v>
      </c>
      <c r="C19" s="14" t="s">
        <v>140</v>
      </c>
      <c r="D19" s="14" t="s">
        <v>141</v>
      </c>
      <c r="E19" s="13" t="s">
        <v>18</v>
      </c>
      <c r="F19" s="14" t="s">
        <v>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0" customWidth="1"/>
    <col min="3" max="3" width="11" customWidth="1"/>
    <col min="4" max="4" width="15" customWidth="1"/>
    <col min="5" max="5" width="10" customWidth="1"/>
    <col min="6" max="6" width="52" customWidth="1"/>
    <col min="7" max="7" width="44" customWidth="1"/>
    <col min="8" max="8" width="11" customWidth="1"/>
    <col min="9" max="9" width="22" customWidth="1"/>
    <col min="10" max="10" width="12" customWidth="1"/>
  </cols>
  <sheetData>
    <row r="1" spans="1:10" ht="17.399999999999999" x14ac:dyDescent="0.3">
      <c r="A1" s="2" t="s">
        <v>143</v>
      </c>
    </row>
    <row r="2" spans="1:10" x14ac:dyDescent="0.3">
      <c r="A2" s="3" t="s">
        <v>144</v>
      </c>
    </row>
    <row r="4" spans="1:10" ht="31.5" customHeight="1" x14ac:dyDescent="0.3">
      <c r="A4" s="4" t="s">
        <v>145</v>
      </c>
      <c r="B4" s="4" t="s">
        <v>37</v>
      </c>
      <c r="C4" s="4" t="s">
        <v>146</v>
      </c>
      <c r="D4" s="4" t="s">
        <v>79</v>
      </c>
      <c r="E4" s="4" t="s">
        <v>14</v>
      </c>
      <c r="F4" s="4" t="s">
        <v>147</v>
      </c>
      <c r="G4" s="4" t="s">
        <v>148</v>
      </c>
      <c r="H4" s="4" t="s">
        <v>149</v>
      </c>
      <c r="I4" s="4" t="s">
        <v>150</v>
      </c>
      <c r="J4" s="4" t="s">
        <v>151</v>
      </c>
    </row>
    <row r="5" spans="1:10" ht="55.5" customHeight="1" x14ac:dyDescent="0.3">
      <c r="A5" s="13" t="s">
        <v>152</v>
      </c>
      <c r="B5" s="17" t="s">
        <v>59</v>
      </c>
      <c r="C5" s="15">
        <v>2</v>
      </c>
      <c r="D5" s="17" t="s">
        <v>135</v>
      </c>
      <c r="E5" s="15" t="s">
        <v>20</v>
      </c>
      <c r="F5" s="17" t="s">
        <v>153</v>
      </c>
      <c r="G5" s="17" t="s">
        <v>154</v>
      </c>
      <c r="H5" s="15" t="s">
        <v>15</v>
      </c>
      <c r="I5" s="17" t="s">
        <v>155</v>
      </c>
      <c r="J5" s="15" t="s">
        <v>156</v>
      </c>
    </row>
    <row r="6" spans="1:10" ht="55.5" customHeight="1" x14ac:dyDescent="0.3">
      <c r="A6" s="13" t="s">
        <v>157</v>
      </c>
      <c r="B6" s="17" t="s">
        <v>69</v>
      </c>
      <c r="C6" s="15"/>
      <c r="D6" s="17" t="s">
        <v>158</v>
      </c>
      <c r="E6" s="15" t="s">
        <v>18</v>
      </c>
      <c r="F6" s="17" t="s">
        <v>159</v>
      </c>
      <c r="G6" s="17" t="s">
        <v>160</v>
      </c>
      <c r="H6" s="15" t="s">
        <v>15</v>
      </c>
      <c r="I6" s="17" t="s">
        <v>155</v>
      </c>
      <c r="J6" s="15" t="s">
        <v>156</v>
      </c>
    </row>
    <row r="7" spans="1:10" ht="55.5" customHeight="1" x14ac:dyDescent="0.3">
      <c r="A7" s="13" t="s">
        <v>161</v>
      </c>
      <c r="B7" s="17" t="s">
        <v>162</v>
      </c>
      <c r="C7" s="15"/>
      <c r="D7" s="17" t="s">
        <v>99</v>
      </c>
      <c r="E7" s="15" t="s">
        <v>18</v>
      </c>
      <c r="F7" s="17" t="s">
        <v>163</v>
      </c>
      <c r="G7" s="17" t="s">
        <v>164</v>
      </c>
      <c r="H7" s="15" t="s">
        <v>15</v>
      </c>
      <c r="I7" s="17" t="s">
        <v>155</v>
      </c>
      <c r="J7" s="15" t="s">
        <v>156</v>
      </c>
    </row>
    <row r="8" spans="1:10" ht="55.5" customHeight="1" x14ac:dyDescent="0.3">
      <c r="A8" s="13" t="s">
        <v>165</v>
      </c>
      <c r="B8" s="17" t="s">
        <v>166</v>
      </c>
      <c r="C8" s="15"/>
      <c r="D8" s="17" t="s">
        <v>128</v>
      </c>
      <c r="E8" s="15" t="s">
        <v>20</v>
      </c>
      <c r="F8" s="17" t="s">
        <v>167</v>
      </c>
      <c r="G8" s="17" t="s">
        <v>168</v>
      </c>
      <c r="H8" s="15" t="s">
        <v>15</v>
      </c>
      <c r="I8" s="17" t="s">
        <v>155</v>
      </c>
      <c r="J8" s="15" t="s">
        <v>156</v>
      </c>
    </row>
    <row r="9" spans="1:10" ht="55.5" customHeight="1" x14ac:dyDescent="0.3">
      <c r="A9" s="13" t="s">
        <v>169</v>
      </c>
      <c r="B9" s="17" t="s">
        <v>49</v>
      </c>
      <c r="C9" s="15"/>
      <c r="D9" s="17" t="s">
        <v>128</v>
      </c>
      <c r="E9" s="15" t="s">
        <v>20</v>
      </c>
      <c r="F9" s="17" t="s">
        <v>170</v>
      </c>
      <c r="G9" s="17" t="s">
        <v>171</v>
      </c>
      <c r="H9" s="15" t="s">
        <v>15</v>
      </c>
      <c r="I9" s="17" t="s">
        <v>155</v>
      </c>
      <c r="J9" s="15" t="s">
        <v>156</v>
      </c>
    </row>
    <row r="10" spans="1:10" x14ac:dyDescent="0.3">
      <c r="A10" s="13"/>
      <c r="B10" s="17"/>
      <c r="C10" s="15"/>
      <c r="D10" s="17"/>
      <c r="E10" s="15"/>
      <c r="F10" s="17"/>
      <c r="G10" s="17"/>
      <c r="H10" s="15"/>
      <c r="I10" s="17"/>
      <c r="J10" s="15"/>
    </row>
    <row r="11" spans="1:10" x14ac:dyDescent="0.3">
      <c r="A11" s="13"/>
      <c r="B11" s="17"/>
      <c r="C11" s="15"/>
      <c r="D11" s="17"/>
      <c r="E11" s="15"/>
      <c r="F11" s="17"/>
      <c r="G11" s="17"/>
      <c r="H11" s="15"/>
      <c r="I11" s="17"/>
      <c r="J11" s="15"/>
    </row>
    <row r="12" spans="1:10" x14ac:dyDescent="0.3">
      <c r="A12" s="13"/>
      <c r="B12" s="17"/>
      <c r="C12" s="15"/>
      <c r="D12" s="17"/>
      <c r="E12" s="15"/>
      <c r="F12" s="17"/>
      <c r="G12" s="17"/>
      <c r="H12" s="15"/>
      <c r="I12" s="17"/>
      <c r="J12" s="15"/>
    </row>
    <row r="13" spans="1:10" x14ac:dyDescent="0.3">
      <c r="A13" s="13"/>
      <c r="B13" s="17"/>
      <c r="C13" s="15"/>
      <c r="D13" s="17"/>
      <c r="E13" s="15"/>
      <c r="F13" s="17"/>
      <c r="G13" s="17"/>
      <c r="H13" s="15"/>
      <c r="I13" s="17"/>
      <c r="J13" s="15"/>
    </row>
    <row r="14" spans="1:10" x14ac:dyDescent="0.3">
      <c r="A14" s="13"/>
      <c r="B14" s="17"/>
      <c r="C14" s="15"/>
      <c r="D14" s="17"/>
      <c r="E14" s="15"/>
      <c r="F14" s="17"/>
      <c r="G14" s="17"/>
      <c r="H14" s="15"/>
      <c r="I14" s="17"/>
      <c r="J14" s="15"/>
    </row>
    <row r="15" spans="1:10" x14ac:dyDescent="0.3">
      <c r="A15" s="13"/>
      <c r="B15" s="17"/>
      <c r="C15" s="15"/>
      <c r="D15" s="17"/>
      <c r="E15" s="15"/>
      <c r="F15" s="17"/>
      <c r="G15" s="17"/>
      <c r="H15" s="15"/>
      <c r="I15" s="17"/>
      <c r="J15" s="15"/>
    </row>
    <row r="16" spans="1:10" x14ac:dyDescent="0.3">
      <c r="A16" s="13"/>
      <c r="B16" s="17"/>
      <c r="C16" s="15"/>
      <c r="D16" s="17"/>
      <c r="E16" s="15"/>
      <c r="F16" s="17"/>
      <c r="G16" s="17"/>
      <c r="H16" s="15"/>
      <c r="I16" s="17"/>
      <c r="J16" s="15"/>
    </row>
    <row r="17" spans="1:10" x14ac:dyDescent="0.3">
      <c r="A17" s="13"/>
      <c r="B17" s="17"/>
      <c r="C17" s="15"/>
      <c r="D17" s="17"/>
      <c r="E17" s="15"/>
      <c r="F17" s="17"/>
      <c r="G17" s="17"/>
      <c r="H17" s="15"/>
      <c r="I17" s="17"/>
      <c r="J17" s="15"/>
    </row>
    <row r="18" spans="1:10" x14ac:dyDescent="0.3">
      <c r="A18" s="13"/>
      <c r="B18" s="17"/>
      <c r="C18" s="15"/>
      <c r="D18" s="17"/>
      <c r="E18" s="15"/>
      <c r="F18" s="17"/>
      <c r="G18" s="17"/>
      <c r="H18" s="15"/>
      <c r="I18" s="17"/>
      <c r="J18" s="15"/>
    </row>
    <row r="19" spans="1:10" x14ac:dyDescent="0.3">
      <c r="A19" s="13"/>
      <c r="B19" s="17"/>
      <c r="C19" s="15"/>
      <c r="D19" s="17"/>
      <c r="E19" s="15"/>
      <c r="F19" s="17"/>
      <c r="G19" s="17"/>
      <c r="H19" s="15"/>
      <c r="I19" s="17"/>
      <c r="J19" s="15"/>
    </row>
    <row r="20" spans="1:10" x14ac:dyDescent="0.3">
      <c r="A20" s="13"/>
      <c r="B20" s="17"/>
      <c r="C20" s="15"/>
      <c r="D20" s="17"/>
      <c r="E20" s="15"/>
      <c r="F20" s="17"/>
      <c r="G20" s="17"/>
      <c r="H20" s="15"/>
      <c r="I20" s="17"/>
      <c r="J20" s="15"/>
    </row>
    <row r="21" spans="1:10" x14ac:dyDescent="0.3">
      <c r="A21" s="13"/>
      <c r="B21" s="17"/>
      <c r="C21" s="15"/>
      <c r="D21" s="17"/>
      <c r="E21" s="15"/>
      <c r="F21" s="17"/>
      <c r="G21" s="17"/>
      <c r="H21" s="15"/>
      <c r="I21" s="17"/>
      <c r="J21" s="15"/>
    </row>
    <row r="22" spans="1:10" x14ac:dyDescent="0.3">
      <c r="A22" s="13"/>
      <c r="B22" s="17"/>
      <c r="C22" s="15"/>
      <c r="D22" s="17"/>
      <c r="E22" s="15"/>
      <c r="F22" s="17"/>
      <c r="G22" s="17"/>
      <c r="H22" s="15"/>
      <c r="I22" s="17"/>
      <c r="J22" s="15"/>
    </row>
    <row r="23" spans="1:10" x14ac:dyDescent="0.3">
      <c r="A23" s="13"/>
      <c r="B23" s="17"/>
      <c r="C23" s="15"/>
      <c r="D23" s="17"/>
      <c r="E23" s="15"/>
      <c r="F23" s="17"/>
      <c r="G23" s="17"/>
      <c r="H23" s="15"/>
      <c r="I23" s="17"/>
      <c r="J23" s="15"/>
    </row>
    <row r="24" spans="1:10" x14ac:dyDescent="0.3">
      <c r="A24" s="13"/>
      <c r="B24" s="17"/>
      <c r="C24" s="15"/>
      <c r="D24" s="17"/>
      <c r="E24" s="15"/>
      <c r="F24" s="17"/>
      <c r="G24" s="17"/>
      <c r="H24" s="15"/>
      <c r="I24" s="17"/>
      <c r="J24" s="15"/>
    </row>
    <row r="25" spans="1:10" x14ac:dyDescent="0.3">
      <c r="A25" s="13"/>
      <c r="B25" s="17"/>
      <c r="C25" s="15"/>
      <c r="D25" s="17"/>
      <c r="E25" s="15"/>
      <c r="F25" s="17"/>
      <c r="G25" s="17"/>
      <c r="H25" s="15"/>
      <c r="I25" s="17"/>
      <c r="J25" s="15"/>
    </row>
    <row r="26" spans="1:10" x14ac:dyDescent="0.3">
      <c r="A26" s="13"/>
      <c r="B26" s="17"/>
      <c r="C26" s="15"/>
      <c r="D26" s="17"/>
      <c r="E26" s="15"/>
      <c r="F26" s="17"/>
      <c r="G26" s="17"/>
      <c r="H26" s="15"/>
      <c r="I26" s="17"/>
      <c r="J26" s="15"/>
    </row>
    <row r="27" spans="1:10" x14ac:dyDescent="0.3">
      <c r="A27" s="13"/>
      <c r="B27" s="17"/>
      <c r="C27" s="15"/>
      <c r="D27" s="17"/>
      <c r="E27" s="15"/>
      <c r="F27" s="17"/>
      <c r="G27" s="17"/>
      <c r="H27" s="15"/>
      <c r="I27" s="17"/>
      <c r="J27" s="15"/>
    </row>
    <row r="28" spans="1:10" x14ac:dyDescent="0.3">
      <c r="A28" s="13"/>
      <c r="B28" s="17"/>
      <c r="C28" s="15"/>
      <c r="D28" s="17"/>
      <c r="E28" s="15"/>
      <c r="F28" s="17"/>
      <c r="G28" s="17"/>
      <c r="H28" s="15"/>
      <c r="I28" s="17"/>
      <c r="J28" s="15"/>
    </row>
    <row r="29" spans="1:10" x14ac:dyDescent="0.3">
      <c r="A29" s="13"/>
      <c r="B29" s="17"/>
      <c r="C29" s="15"/>
      <c r="D29" s="17"/>
      <c r="E29" s="15"/>
      <c r="F29" s="17"/>
      <c r="G29" s="17"/>
      <c r="H29" s="15"/>
      <c r="I29" s="17"/>
      <c r="J29" s="15"/>
    </row>
    <row r="30" spans="1:10" x14ac:dyDescent="0.3">
      <c r="A30" s="13"/>
      <c r="B30" s="17"/>
      <c r="C30" s="15"/>
      <c r="D30" s="17"/>
      <c r="E30" s="15"/>
      <c r="F30" s="17"/>
      <c r="G30" s="17"/>
      <c r="H30" s="15"/>
      <c r="I30" s="17"/>
      <c r="J30" s="15"/>
    </row>
    <row r="31" spans="1:10" x14ac:dyDescent="0.3">
      <c r="A31" s="13"/>
      <c r="B31" s="17"/>
      <c r="C31" s="15"/>
      <c r="D31" s="17"/>
      <c r="E31" s="15"/>
      <c r="F31" s="17"/>
      <c r="G31" s="17"/>
      <c r="H31" s="15"/>
      <c r="I31" s="17"/>
      <c r="J31" s="15"/>
    </row>
    <row r="32" spans="1:10" x14ac:dyDescent="0.3">
      <c r="A32" s="13"/>
      <c r="B32" s="17"/>
      <c r="C32" s="15"/>
      <c r="D32" s="17"/>
      <c r="E32" s="15"/>
      <c r="F32" s="17"/>
      <c r="G32" s="17"/>
      <c r="H32" s="15"/>
      <c r="I32" s="17"/>
      <c r="J32" s="15"/>
    </row>
    <row r="33" spans="1:10" x14ac:dyDescent="0.3">
      <c r="A33" s="13"/>
      <c r="B33" s="17"/>
      <c r="C33" s="15"/>
      <c r="D33" s="17"/>
      <c r="E33" s="15"/>
      <c r="F33" s="17"/>
      <c r="G33" s="17"/>
      <c r="H33" s="15"/>
      <c r="I33" s="17"/>
      <c r="J33" s="15"/>
    </row>
    <row r="34" spans="1:10" x14ac:dyDescent="0.3">
      <c r="A34" s="13"/>
      <c r="B34" s="17"/>
      <c r="C34" s="15"/>
      <c r="D34" s="17"/>
      <c r="E34" s="15"/>
      <c r="F34" s="17"/>
      <c r="G34" s="17"/>
      <c r="H34" s="15"/>
      <c r="I34" s="17"/>
      <c r="J34" s="15"/>
    </row>
    <row r="35" spans="1:10" x14ac:dyDescent="0.3">
      <c r="A35" s="13"/>
      <c r="B35" s="17"/>
      <c r="C35" s="15"/>
      <c r="D35" s="17"/>
      <c r="E35" s="15"/>
      <c r="F35" s="17"/>
      <c r="G35" s="17"/>
      <c r="H35" s="15"/>
      <c r="I35" s="17"/>
      <c r="J35" s="15"/>
    </row>
    <row r="36" spans="1:10" x14ac:dyDescent="0.3">
      <c r="A36" s="13"/>
      <c r="B36" s="17"/>
      <c r="C36" s="15"/>
      <c r="D36" s="17"/>
      <c r="E36" s="15"/>
      <c r="F36" s="17"/>
      <c r="G36" s="17"/>
      <c r="H36" s="15"/>
      <c r="I36" s="17"/>
      <c r="J36" s="15"/>
    </row>
    <row r="37" spans="1:10" x14ac:dyDescent="0.3">
      <c r="A37" s="13"/>
      <c r="B37" s="17"/>
      <c r="C37" s="15"/>
      <c r="D37" s="17"/>
      <c r="E37" s="15"/>
      <c r="F37" s="17"/>
      <c r="G37" s="17"/>
      <c r="H37" s="15"/>
      <c r="I37" s="17"/>
      <c r="J37" s="15"/>
    </row>
    <row r="38" spans="1:10" x14ac:dyDescent="0.3">
      <c r="A38" s="13"/>
      <c r="B38" s="17"/>
      <c r="C38" s="15"/>
      <c r="D38" s="17"/>
      <c r="E38" s="15"/>
      <c r="F38" s="17"/>
      <c r="G38" s="17"/>
      <c r="H38" s="15"/>
      <c r="I38" s="17"/>
      <c r="J38" s="15"/>
    </row>
    <row r="39" spans="1:10" x14ac:dyDescent="0.3">
      <c r="A39" s="13"/>
      <c r="B39" s="17"/>
      <c r="C39" s="15"/>
      <c r="D39" s="17"/>
      <c r="E39" s="15"/>
      <c r="F39" s="17"/>
      <c r="G39" s="17"/>
      <c r="H39" s="15"/>
      <c r="I39" s="17"/>
      <c r="J39" s="15"/>
    </row>
    <row r="40" spans="1:10" x14ac:dyDescent="0.3">
      <c r="A40" s="13"/>
      <c r="B40" s="17"/>
      <c r="C40" s="15"/>
      <c r="D40" s="17"/>
      <c r="E40" s="15"/>
      <c r="F40" s="17"/>
      <c r="G40" s="17"/>
      <c r="H40" s="15"/>
      <c r="I40" s="17"/>
      <c r="J40" s="15"/>
    </row>
    <row r="41" spans="1:10" x14ac:dyDescent="0.3">
      <c r="A41" s="13"/>
      <c r="B41" s="17"/>
      <c r="C41" s="15"/>
      <c r="D41" s="17"/>
      <c r="E41" s="15"/>
      <c r="F41" s="17"/>
      <c r="G41" s="17"/>
      <c r="H41" s="15"/>
      <c r="I41" s="17"/>
      <c r="J41" s="15"/>
    </row>
    <row r="42" spans="1:10" x14ac:dyDescent="0.3">
      <c r="A42" s="13"/>
      <c r="B42" s="17"/>
      <c r="C42" s="15"/>
      <c r="D42" s="17"/>
      <c r="E42" s="15"/>
      <c r="F42" s="17"/>
      <c r="G42" s="17"/>
      <c r="H42" s="15"/>
      <c r="I42" s="17"/>
      <c r="J42" s="15"/>
    </row>
    <row r="43" spans="1:10" x14ac:dyDescent="0.3">
      <c r="A43" s="13"/>
      <c r="B43" s="17"/>
      <c r="C43" s="15"/>
      <c r="D43" s="17"/>
      <c r="E43" s="15"/>
      <c r="F43" s="17"/>
      <c r="G43" s="17"/>
      <c r="H43" s="15"/>
      <c r="I43" s="17"/>
      <c r="J43" s="15"/>
    </row>
    <row r="44" spans="1:10" x14ac:dyDescent="0.3">
      <c r="A44" s="13"/>
      <c r="B44" s="17"/>
      <c r="C44" s="15"/>
      <c r="D44" s="17"/>
      <c r="E44" s="15"/>
      <c r="F44" s="17"/>
      <c r="G44" s="17"/>
      <c r="H44" s="15"/>
      <c r="I44" s="17"/>
      <c r="J44" s="15"/>
    </row>
    <row r="45" spans="1:10" x14ac:dyDescent="0.3">
      <c r="A45" s="13"/>
      <c r="B45" s="17"/>
      <c r="C45" s="15"/>
      <c r="D45" s="17"/>
      <c r="E45" s="15"/>
      <c r="F45" s="17"/>
      <c r="G45" s="17"/>
      <c r="H45" s="15"/>
      <c r="I45" s="17"/>
      <c r="J45" s="15"/>
    </row>
    <row r="46" spans="1:10" x14ac:dyDescent="0.3">
      <c r="A46" s="13"/>
      <c r="B46" s="17"/>
      <c r="C46" s="15"/>
      <c r="D46" s="17"/>
      <c r="E46" s="15"/>
      <c r="F46" s="17"/>
      <c r="G46" s="17"/>
      <c r="H46" s="15"/>
      <c r="I46" s="17"/>
      <c r="J46" s="15"/>
    </row>
    <row r="47" spans="1:10" x14ac:dyDescent="0.3">
      <c r="A47" s="13"/>
      <c r="B47" s="17"/>
      <c r="C47" s="15"/>
      <c r="D47" s="17"/>
      <c r="E47" s="15"/>
      <c r="F47" s="17"/>
      <c r="G47" s="17"/>
      <c r="H47" s="15"/>
      <c r="I47" s="17"/>
      <c r="J47" s="15"/>
    </row>
    <row r="48" spans="1:10" x14ac:dyDescent="0.3">
      <c r="A48" s="13"/>
      <c r="B48" s="17"/>
      <c r="C48" s="15"/>
      <c r="D48" s="17"/>
      <c r="E48" s="15"/>
      <c r="F48" s="17"/>
      <c r="G48" s="17"/>
      <c r="H48" s="15"/>
      <c r="I48" s="17"/>
      <c r="J48" s="15"/>
    </row>
    <row r="49" spans="1:10" x14ac:dyDescent="0.3">
      <c r="A49" s="13"/>
      <c r="B49" s="17"/>
      <c r="C49" s="15"/>
      <c r="D49" s="17"/>
      <c r="E49" s="15"/>
      <c r="F49" s="17"/>
      <c r="G49" s="17"/>
      <c r="H49" s="15"/>
      <c r="I49" s="17"/>
      <c r="J49" s="15"/>
    </row>
    <row r="50" spans="1:10" x14ac:dyDescent="0.3">
      <c r="A50" s="13"/>
      <c r="B50" s="17"/>
      <c r="C50" s="15"/>
      <c r="D50" s="17"/>
      <c r="E50" s="15"/>
      <c r="F50" s="17"/>
      <c r="G50" s="17"/>
      <c r="H50" s="15"/>
      <c r="I50" s="17"/>
      <c r="J50" s="15"/>
    </row>
    <row r="51" spans="1:10" x14ac:dyDescent="0.3">
      <c r="A51" s="13"/>
      <c r="B51" s="17"/>
      <c r="C51" s="15"/>
      <c r="D51" s="17"/>
      <c r="E51" s="15"/>
      <c r="F51" s="17"/>
      <c r="G51" s="17"/>
      <c r="H51" s="15"/>
      <c r="I51" s="17"/>
      <c r="J51" s="15"/>
    </row>
    <row r="52" spans="1:10" x14ac:dyDescent="0.3">
      <c r="A52" s="13"/>
      <c r="B52" s="17"/>
      <c r="C52" s="15"/>
      <c r="D52" s="17"/>
      <c r="E52" s="15"/>
      <c r="F52" s="17"/>
      <c r="G52" s="17"/>
      <c r="H52" s="15"/>
      <c r="I52" s="17"/>
      <c r="J52" s="15"/>
    </row>
    <row r="53" spans="1:10" x14ac:dyDescent="0.3">
      <c r="A53" s="13"/>
      <c r="B53" s="17"/>
      <c r="C53" s="15"/>
      <c r="D53" s="17"/>
      <c r="E53" s="15"/>
      <c r="F53" s="17"/>
      <c r="G53" s="17"/>
      <c r="H53" s="15"/>
      <c r="I53" s="17"/>
      <c r="J53" s="15"/>
    </row>
    <row r="54" spans="1:10" x14ac:dyDescent="0.3">
      <c r="A54" s="13"/>
      <c r="B54" s="17"/>
      <c r="C54" s="15"/>
      <c r="D54" s="17"/>
      <c r="E54" s="15"/>
      <c r="F54" s="17"/>
      <c r="G54" s="17"/>
      <c r="H54" s="15"/>
      <c r="I54" s="17"/>
      <c r="J54" s="15"/>
    </row>
    <row r="55" spans="1:10" x14ac:dyDescent="0.3">
      <c r="A55" s="13"/>
      <c r="B55" s="17"/>
      <c r="C55" s="15"/>
      <c r="D55" s="17"/>
      <c r="E55" s="15"/>
      <c r="F55" s="17"/>
      <c r="G55" s="17"/>
      <c r="H55" s="15"/>
      <c r="I55" s="17"/>
      <c r="J55" s="15"/>
    </row>
    <row r="56" spans="1:10" x14ac:dyDescent="0.3">
      <c r="A56" s="13"/>
      <c r="B56" s="17"/>
      <c r="C56" s="15"/>
      <c r="D56" s="17"/>
      <c r="E56" s="15"/>
      <c r="F56" s="17"/>
      <c r="G56" s="17"/>
      <c r="H56" s="15"/>
      <c r="I56" s="17"/>
      <c r="J56" s="15"/>
    </row>
    <row r="57" spans="1:10" x14ac:dyDescent="0.3">
      <c r="A57" s="13"/>
      <c r="B57" s="17"/>
      <c r="C57" s="15"/>
      <c r="D57" s="17"/>
      <c r="E57" s="15"/>
      <c r="F57" s="17"/>
      <c r="G57" s="17"/>
      <c r="H57" s="15"/>
      <c r="I57" s="17"/>
      <c r="J57" s="15"/>
    </row>
    <row r="58" spans="1:10" x14ac:dyDescent="0.3">
      <c r="A58" s="13"/>
      <c r="B58" s="17"/>
      <c r="C58" s="15"/>
      <c r="D58" s="17"/>
      <c r="E58" s="15"/>
      <c r="F58" s="17"/>
      <c r="G58" s="17"/>
      <c r="H58" s="15"/>
      <c r="I58" s="17"/>
      <c r="J58" s="15"/>
    </row>
    <row r="59" spans="1:10" x14ac:dyDescent="0.3">
      <c r="A59" s="13"/>
      <c r="B59" s="17"/>
      <c r="C59" s="15"/>
      <c r="D59" s="17"/>
      <c r="E59" s="15"/>
      <c r="F59" s="17"/>
      <c r="G59" s="17"/>
      <c r="H59" s="15"/>
      <c r="I59" s="17"/>
      <c r="J59" s="15"/>
    </row>
    <row r="60" spans="1:10" x14ac:dyDescent="0.3">
      <c r="A60" s="13"/>
      <c r="B60" s="17"/>
      <c r="C60" s="15"/>
      <c r="D60" s="17"/>
      <c r="E60" s="15"/>
      <c r="F60" s="17"/>
      <c r="G60" s="17"/>
      <c r="H60" s="15"/>
      <c r="I60" s="17"/>
      <c r="J60" s="15"/>
    </row>
    <row r="61" spans="1:10" x14ac:dyDescent="0.3">
      <c r="A61" s="13"/>
      <c r="B61" s="17"/>
      <c r="C61" s="15"/>
      <c r="D61" s="17"/>
      <c r="E61" s="15"/>
      <c r="F61" s="17"/>
      <c r="G61" s="17"/>
      <c r="H61" s="15"/>
      <c r="I61" s="17"/>
      <c r="J61" s="15"/>
    </row>
    <row r="62" spans="1:10" x14ac:dyDescent="0.3">
      <c r="A62" s="13"/>
      <c r="B62" s="17"/>
      <c r="C62" s="15"/>
      <c r="D62" s="17"/>
      <c r="E62" s="15"/>
      <c r="F62" s="17"/>
      <c r="G62" s="17"/>
      <c r="H62" s="15"/>
      <c r="I62" s="17"/>
      <c r="J62" s="15"/>
    </row>
    <row r="63" spans="1:10" x14ac:dyDescent="0.3">
      <c r="A63" s="13"/>
      <c r="B63" s="17"/>
      <c r="C63" s="15"/>
      <c r="D63" s="17"/>
      <c r="E63" s="15"/>
      <c r="F63" s="17"/>
      <c r="G63" s="17"/>
      <c r="H63" s="15"/>
      <c r="I63" s="17"/>
      <c r="J63" s="15"/>
    </row>
    <row r="64" spans="1:10" x14ac:dyDescent="0.3">
      <c r="A64" s="13"/>
      <c r="B64" s="17"/>
      <c r="C64" s="15"/>
      <c r="D64" s="17"/>
      <c r="E64" s="15"/>
      <c r="F64" s="17"/>
      <c r="G64" s="17"/>
      <c r="H64" s="15"/>
      <c r="I64" s="17"/>
      <c r="J64" s="15"/>
    </row>
  </sheetData>
  <dataValidations count="3">
    <dataValidation type="list" allowBlank="1" sqref="D5:D64" xr:uid="{00000000-0002-0000-0300-000000000000}">
      <formula1>"Label,Completeness,Scope,Duplicates,Shape type,Geometry,Technical,Process,Guideline gap,Export"</formula1>
      <formula2>0</formula2>
    </dataValidation>
    <dataValidation type="list" allowBlank="1" sqref="E5:E64" xr:uid="{00000000-0002-0000-0300-000001000000}">
      <formula1>"Critical,Major,Minor,Info"</formula1>
      <formula2>0</formula2>
    </dataValidation>
    <dataValidation type="list" allowBlank="1" sqref="H5:H64" xr:uid="{00000000-0002-0000-0300-000002000000}">
      <formula1>"Open,Fixed,Verified,Won't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Image QC</vt:lpstr>
      <vt:lpstr>QC Checklist</vt:lpstr>
      <vt:lpstr>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Vinay Kumar Haldar</cp:lastModifiedBy>
  <cp:revision>0</cp:revision>
  <dcterms:created xsi:type="dcterms:W3CDTF">2026-10-01T03:14:57Z</dcterms:created>
  <dcterms:modified xsi:type="dcterms:W3CDTF">2026-10-01T03:17:35Z</dcterms:modified>
  <dc:language>en-US</dc:language>
</cp:coreProperties>
</file>